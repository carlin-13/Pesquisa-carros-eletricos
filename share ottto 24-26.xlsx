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okercontabilidadeinteliga.sharepoint.com/sites/TimeComercial/Clientes/Análise_Pricing/data/ponteio/pesquisa_eletricos/"/>
    </mc:Choice>
  </mc:AlternateContent>
  <xr:revisionPtr revIDLastSave="10" documentId="8_{47C17207-C680-429D-9945-990CD286A25E}" xr6:coauthVersionLast="47" xr6:coauthVersionMax="47" xr10:uidLastSave="{D824FC29-43FA-47DA-A3AF-E3C64B3CFE83}"/>
  <bookViews>
    <workbookView xWindow="-22485" yWindow="-1080" windowWidth="21090" windowHeight="12075" xr2:uid="{5446900C-454C-43FF-A1D1-819D039037C4}"/>
  </bookViews>
  <sheets>
    <sheet name="share ottto 24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1" i="1" l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69" i="1"/>
  <c r="E68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E52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E38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3" i="1"/>
  <c r="D2" i="1"/>
</calcChain>
</file>

<file path=xl/sharedStrings.xml><?xml version="1.0" encoding="utf-8"?>
<sst xmlns="http://schemas.openxmlformats.org/spreadsheetml/2006/main" count="245" uniqueCount="9">
  <si>
    <t>produto</t>
  </si>
  <si>
    <t>GO</t>
  </si>
  <si>
    <t>gasolina</t>
  </si>
  <si>
    <t>etanol</t>
  </si>
  <si>
    <t>DF</t>
  </si>
  <si>
    <t>UF</t>
  </si>
  <si>
    <t>Data_Ref</t>
  </si>
  <si>
    <t>share(mil m³)</t>
  </si>
  <si>
    <t>vendas_cliente_x(m³)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</si>
</sst>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center" vertic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67A6-11DA-4BF0-9139-CAAECCBE5F0E}">
  <dimension ref="A1:E121"/>
  <sheetViews>
    <sheetView tabSelected="1" workbookViewId="0">
      <selection activeCell="E4" sqref="E4"/>
    </sheetView>
  </sheetViews>
  <sheetFormatPr defaultRowHeight="14.4" x14ac:dyDescent="0.3"/>
  <cols>
    <col min="5" max="5" width="15.44140625" bestFit="1" customWidth="1"/>
  </cols>
  <sheetData>
    <row r="1" spans="1:5" x14ac:dyDescent="0.3">
      <c r="A1" t="s">
        <v>6</v>
      </c>
      <c r="B1" t="s">
        <v>5</v>
      </c>
      <c r="C1" t="s">
        <v>0</v>
      </c>
      <c r="D1" t="s">
        <v>7</v>
      </c>
      <c r="E1" t="s">
        <v>8</v>
      </c>
    </row>
    <row r="2" spans="1:5" x14ac:dyDescent="0.3">
      <c r="A2" s="2">
        <v>46174</v>
      </c>
      <c r="B2" t="s">
        <v>1</v>
      </c>
      <c r="C2" t="s">
        <v>2</v>
      </c>
      <c r="D2" s="1">
        <f>75.58+57.51</f>
        <v>133.09</v>
      </c>
      <c r="E2" s="1">
        <v>3643.7530000000002</v>
      </c>
    </row>
    <row r="3" spans="1:5" x14ac:dyDescent="0.3">
      <c r="A3" s="2">
        <v>46174</v>
      </c>
      <c r="B3" t="s">
        <v>1</v>
      </c>
      <c r="C3" t="s">
        <v>3</v>
      </c>
      <c r="D3" s="1">
        <f>80.7+50.81</f>
        <v>131.51</v>
      </c>
      <c r="E3" s="1">
        <v>2598.681</v>
      </c>
    </row>
    <row r="4" spans="1:5" x14ac:dyDescent="0.3">
      <c r="A4" s="2">
        <v>46174</v>
      </c>
      <c r="B4" t="s">
        <v>4</v>
      </c>
      <c r="C4" t="s">
        <v>2</v>
      </c>
      <c r="D4" s="1">
        <v>82</v>
      </c>
      <c r="E4" s="1">
        <v>2262.9769999999999</v>
      </c>
    </row>
    <row r="5" spans="1:5" x14ac:dyDescent="0.3">
      <c r="A5" s="2">
        <v>46174</v>
      </c>
      <c r="B5" t="s">
        <v>4</v>
      </c>
      <c r="C5" t="s">
        <v>3</v>
      </c>
      <c r="D5" s="1">
        <v>32</v>
      </c>
      <c r="E5" s="1">
        <v>1089.568</v>
      </c>
    </row>
    <row r="6" spans="1:5" x14ac:dyDescent="0.3">
      <c r="A6" s="2">
        <v>46143</v>
      </c>
      <c r="B6" t="s">
        <v>1</v>
      </c>
      <c r="C6" t="s">
        <v>2</v>
      </c>
      <c r="D6" s="1">
        <f>77.84+61.45</f>
        <v>139.29000000000002</v>
      </c>
      <c r="E6" s="1">
        <v>3859.8220000000001</v>
      </c>
    </row>
    <row r="7" spans="1:5" x14ac:dyDescent="0.3">
      <c r="A7" s="2">
        <v>46143</v>
      </c>
      <c r="B7" t="s">
        <v>1</v>
      </c>
      <c r="C7" t="s">
        <v>3</v>
      </c>
      <c r="D7" s="1">
        <f>79.57+48.41</f>
        <v>127.97999999999999</v>
      </c>
      <c r="E7" s="1">
        <v>2318.11</v>
      </c>
    </row>
    <row r="8" spans="1:5" x14ac:dyDescent="0.3">
      <c r="A8" s="2">
        <v>46143</v>
      </c>
      <c r="B8" t="s">
        <v>4</v>
      </c>
      <c r="C8" t="s">
        <v>2</v>
      </c>
      <c r="D8" s="1">
        <f>18.19+68.92</f>
        <v>87.11</v>
      </c>
      <c r="E8" s="1">
        <v>2024.846</v>
      </c>
    </row>
    <row r="9" spans="1:5" x14ac:dyDescent="0.3">
      <c r="A9" s="2">
        <v>46143</v>
      </c>
      <c r="B9" t="s">
        <v>4</v>
      </c>
      <c r="C9" t="s">
        <v>3</v>
      </c>
      <c r="D9" s="1">
        <f>8.75+17.87</f>
        <v>26.62</v>
      </c>
      <c r="E9" s="1">
        <v>914.41499999999996</v>
      </c>
    </row>
    <row r="10" spans="1:5" x14ac:dyDescent="0.3">
      <c r="A10" s="2">
        <v>46113</v>
      </c>
      <c r="B10" t="s">
        <v>1</v>
      </c>
      <c r="C10" t="s">
        <v>2</v>
      </c>
      <c r="D10" s="1">
        <f>82.52+61.75</f>
        <v>144.26999999999998</v>
      </c>
      <c r="E10" s="1">
        <v>4730.7240000000002</v>
      </c>
    </row>
    <row r="11" spans="1:5" x14ac:dyDescent="0.3">
      <c r="A11" s="2">
        <v>46113</v>
      </c>
      <c r="B11" t="s">
        <v>1</v>
      </c>
      <c r="C11" t="s">
        <v>3</v>
      </c>
      <c r="D11" s="1">
        <f>77.78+45.84</f>
        <v>123.62</v>
      </c>
      <c r="E11" s="1">
        <v>1936.7929999999999</v>
      </c>
    </row>
    <row r="12" spans="1:5" x14ac:dyDescent="0.3">
      <c r="A12" s="2">
        <v>46113</v>
      </c>
      <c r="B12" t="s">
        <v>4</v>
      </c>
      <c r="C12" t="s">
        <v>2</v>
      </c>
      <c r="D12" s="1">
        <f>20.53+69.77</f>
        <v>90.3</v>
      </c>
      <c r="E12" s="1">
        <v>2464.5349999999999</v>
      </c>
    </row>
    <row r="13" spans="1:5" x14ac:dyDescent="0.3">
      <c r="A13" s="2">
        <v>46113</v>
      </c>
      <c r="B13" t="s">
        <v>4</v>
      </c>
      <c r="C13" t="s">
        <v>3</v>
      </c>
      <c r="D13" s="1">
        <f>5.07+14.3</f>
        <v>19.37</v>
      </c>
      <c r="E13" s="1">
        <v>865.21400000000006</v>
      </c>
    </row>
    <row r="14" spans="1:5" x14ac:dyDescent="0.3">
      <c r="A14" s="2">
        <v>46082</v>
      </c>
      <c r="B14" t="s">
        <v>1</v>
      </c>
      <c r="C14" t="s">
        <v>2</v>
      </c>
      <c r="D14" s="1">
        <f>87.57+65.17</f>
        <v>152.74</v>
      </c>
      <c r="E14" s="1">
        <v>4629.5640000000003</v>
      </c>
    </row>
    <row r="15" spans="1:5" x14ac:dyDescent="0.3">
      <c r="A15" s="2">
        <v>46082</v>
      </c>
      <c r="B15" t="s">
        <v>1</v>
      </c>
      <c r="C15" t="s">
        <v>3</v>
      </c>
      <c r="D15" s="1">
        <f>78.63+47.3</f>
        <v>125.92999999999999</v>
      </c>
      <c r="E15" s="1">
        <v>1787.5160000000001</v>
      </c>
    </row>
    <row r="16" spans="1:5" x14ac:dyDescent="0.3">
      <c r="A16" s="2">
        <v>46082</v>
      </c>
      <c r="B16" t="s">
        <v>4</v>
      </c>
      <c r="C16" t="s">
        <v>2</v>
      </c>
      <c r="D16" s="1">
        <f>21.69+73.51</f>
        <v>95.2</v>
      </c>
      <c r="E16" s="1">
        <v>2250.9679999999998</v>
      </c>
    </row>
    <row r="17" spans="1:5" x14ac:dyDescent="0.3">
      <c r="A17" s="2">
        <v>46082</v>
      </c>
      <c r="B17" t="s">
        <v>4</v>
      </c>
      <c r="C17" t="s">
        <v>3</v>
      </c>
      <c r="D17" s="1">
        <f>5.06+14.13</f>
        <v>19.190000000000001</v>
      </c>
      <c r="E17" s="1">
        <v>652.61699999999996</v>
      </c>
    </row>
    <row r="18" spans="1:5" x14ac:dyDescent="0.3">
      <c r="A18" s="2">
        <v>46054</v>
      </c>
      <c r="B18" t="s">
        <v>1</v>
      </c>
      <c r="C18" t="s">
        <v>2</v>
      </c>
      <c r="D18" s="1">
        <f>81.47+59.17</f>
        <v>140.63999999999999</v>
      </c>
      <c r="E18" s="1">
        <v>4148.643</v>
      </c>
    </row>
    <row r="19" spans="1:5" x14ac:dyDescent="0.3">
      <c r="A19" s="2">
        <v>46054</v>
      </c>
      <c r="B19" t="s">
        <v>1</v>
      </c>
      <c r="C19" t="s">
        <v>3</v>
      </c>
      <c r="D19" s="1">
        <f>67.8+40.685</f>
        <v>108.485</v>
      </c>
      <c r="E19" s="1">
        <v>1444.271</v>
      </c>
    </row>
    <row r="20" spans="1:5" x14ac:dyDescent="0.3">
      <c r="A20" s="2">
        <v>46054</v>
      </c>
      <c r="B20" t="s">
        <v>4</v>
      </c>
      <c r="C20" t="s">
        <v>2</v>
      </c>
      <c r="D20" s="1">
        <f>19.84+61.04</f>
        <v>80.88</v>
      </c>
      <c r="E20" s="1">
        <v>1854.7860000000001</v>
      </c>
    </row>
    <row r="21" spans="1:5" x14ac:dyDescent="0.3">
      <c r="A21" s="2">
        <v>46054</v>
      </c>
      <c r="B21" t="s">
        <v>4</v>
      </c>
      <c r="C21" t="s">
        <v>3</v>
      </c>
      <c r="D21" s="1">
        <f>4.55+11.96</f>
        <v>16.510000000000002</v>
      </c>
      <c r="E21" s="1">
        <v>491.28699999999998</v>
      </c>
    </row>
    <row r="22" spans="1:5" x14ac:dyDescent="0.3">
      <c r="A22" s="2">
        <v>46023</v>
      </c>
      <c r="B22" t="s">
        <v>1</v>
      </c>
      <c r="C22" t="s">
        <v>2</v>
      </c>
      <c r="D22" s="1">
        <f>82.52+61.19</f>
        <v>143.70999999999998</v>
      </c>
      <c r="E22" s="1">
        <v>4006.3690000000001</v>
      </c>
    </row>
    <row r="23" spans="1:5" x14ac:dyDescent="0.3">
      <c r="A23" s="2">
        <v>46023</v>
      </c>
      <c r="B23" t="s">
        <v>1</v>
      </c>
      <c r="C23" t="s">
        <v>3</v>
      </c>
      <c r="D23" s="1">
        <f>74.07+43.11</f>
        <v>117.17999999999999</v>
      </c>
      <c r="E23" s="1">
        <v>1523.5340000000001</v>
      </c>
    </row>
    <row r="24" spans="1:5" x14ac:dyDescent="0.3">
      <c r="A24" s="2">
        <v>46023</v>
      </c>
      <c r="B24" t="s">
        <v>4</v>
      </c>
      <c r="C24" t="s">
        <v>2</v>
      </c>
      <c r="D24" s="1">
        <f>18.34+60.77</f>
        <v>79.11</v>
      </c>
      <c r="E24" s="1">
        <v>1705.0219999999999</v>
      </c>
    </row>
    <row r="25" spans="1:5" x14ac:dyDescent="0.3">
      <c r="A25" s="2">
        <v>46023</v>
      </c>
      <c r="B25" t="s">
        <v>4</v>
      </c>
      <c r="C25" t="s">
        <v>3</v>
      </c>
      <c r="D25" s="1">
        <f>5.07+13.88</f>
        <v>18.950000000000003</v>
      </c>
      <c r="E25" s="1">
        <v>577.88699999999994</v>
      </c>
    </row>
    <row r="26" spans="1:5" x14ac:dyDescent="0.3">
      <c r="A26" s="2">
        <v>45992</v>
      </c>
      <c r="B26" t="s">
        <v>4</v>
      </c>
      <c r="C26" t="s">
        <v>2</v>
      </c>
      <c r="D26" s="1">
        <f>21.52+71.77</f>
        <v>93.289999999999992</v>
      </c>
      <c r="E26" s="1">
        <v>1835.395</v>
      </c>
    </row>
    <row r="27" spans="1:5" x14ac:dyDescent="0.3">
      <c r="A27" s="2">
        <v>45992</v>
      </c>
      <c r="B27" t="s">
        <v>4</v>
      </c>
      <c r="C27" t="s">
        <v>3</v>
      </c>
      <c r="D27" s="1">
        <f>6.1+17.1</f>
        <v>23.200000000000003</v>
      </c>
      <c r="E27" s="1">
        <v>618.21400000000006</v>
      </c>
    </row>
    <row r="28" spans="1:5" x14ac:dyDescent="0.3">
      <c r="A28" s="2">
        <v>45992</v>
      </c>
      <c r="B28" t="s">
        <v>1</v>
      </c>
      <c r="C28" t="s">
        <v>2</v>
      </c>
      <c r="D28" s="1">
        <f>93.04+71.13</f>
        <v>164.17000000000002</v>
      </c>
      <c r="E28" s="1">
        <v>4174.0690000000004</v>
      </c>
    </row>
    <row r="29" spans="1:5" x14ac:dyDescent="0.3">
      <c r="A29" s="2">
        <v>45992</v>
      </c>
      <c r="B29" t="s">
        <v>1</v>
      </c>
      <c r="C29" t="s">
        <v>3</v>
      </c>
      <c r="D29" s="1">
        <f>86.6+54.86</f>
        <v>141.45999999999998</v>
      </c>
      <c r="E29" s="1">
        <v>1882.5360000000001</v>
      </c>
    </row>
    <row r="30" spans="1:5" x14ac:dyDescent="0.3">
      <c r="A30" s="2">
        <v>45962</v>
      </c>
      <c r="B30" t="s">
        <v>4</v>
      </c>
      <c r="C30" t="s">
        <v>2</v>
      </c>
      <c r="D30" s="1">
        <f>20.42+65.39</f>
        <v>85.81</v>
      </c>
      <c r="E30" s="1">
        <v>1906.47</v>
      </c>
    </row>
    <row r="31" spans="1:5" x14ac:dyDescent="0.3">
      <c r="A31" s="2">
        <v>45962</v>
      </c>
      <c r="B31" t="s">
        <v>4</v>
      </c>
      <c r="C31" t="s">
        <v>3</v>
      </c>
      <c r="D31" s="1">
        <f>6.21+16.44</f>
        <v>22.650000000000002</v>
      </c>
      <c r="E31" s="1">
        <v>674.34900000000005</v>
      </c>
    </row>
    <row r="32" spans="1:5" x14ac:dyDescent="0.3">
      <c r="A32" s="2">
        <v>45962</v>
      </c>
      <c r="B32" t="s">
        <v>1</v>
      </c>
      <c r="C32" t="s">
        <v>2</v>
      </c>
      <c r="D32" s="1">
        <f>78.49+57.49</f>
        <v>135.97999999999999</v>
      </c>
      <c r="E32" s="1">
        <v>4056.8319999999999</v>
      </c>
    </row>
    <row r="33" spans="1:5" x14ac:dyDescent="0.3">
      <c r="A33" s="2">
        <v>45962</v>
      </c>
      <c r="B33" t="s">
        <v>1</v>
      </c>
      <c r="C33" t="s">
        <v>3</v>
      </c>
      <c r="D33" s="1">
        <f>77.53+50.17</f>
        <v>127.7</v>
      </c>
      <c r="E33" s="1">
        <v>2020.9280000000001</v>
      </c>
    </row>
    <row r="34" spans="1:5" x14ac:dyDescent="0.3">
      <c r="A34" s="2">
        <v>45931</v>
      </c>
      <c r="B34" t="s">
        <v>4</v>
      </c>
      <c r="C34" t="s">
        <v>2</v>
      </c>
      <c r="D34" s="1">
        <f>16.91+67.87</f>
        <v>84.78</v>
      </c>
      <c r="E34" s="1">
        <v>4218.1710000000003</v>
      </c>
    </row>
    <row r="35" spans="1:5" x14ac:dyDescent="0.3">
      <c r="A35" s="2">
        <v>45931</v>
      </c>
      <c r="B35" t="s">
        <v>4</v>
      </c>
      <c r="C35" t="s">
        <v>3</v>
      </c>
      <c r="D35" s="1">
        <f>3.61+17.84</f>
        <v>21.45</v>
      </c>
      <c r="E35" s="1">
        <v>2022.8420000000001</v>
      </c>
    </row>
    <row r="36" spans="1:5" x14ac:dyDescent="0.3">
      <c r="A36" s="2">
        <v>45931</v>
      </c>
      <c r="B36" t="s">
        <v>1</v>
      </c>
      <c r="C36" t="s">
        <v>2</v>
      </c>
      <c r="D36" s="1">
        <f>85.35+62.26</f>
        <v>147.60999999999999</v>
      </c>
      <c r="E36" s="1">
        <v>1574.183</v>
      </c>
    </row>
    <row r="37" spans="1:5" x14ac:dyDescent="0.3">
      <c r="A37" s="2">
        <v>45931</v>
      </c>
      <c r="B37" t="s">
        <v>1</v>
      </c>
      <c r="C37" t="s">
        <v>3</v>
      </c>
      <c r="D37" s="1">
        <f>83.64+55.09</f>
        <v>138.73000000000002</v>
      </c>
      <c r="E37" s="1">
        <v>765.56799999999998</v>
      </c>
    </row>
    <row r="38" spans="1:5" x14ac:dyDescent="0.3">
      <c r="A38" s="2">
        <v>45901</v>
      </c>
      <c r="B38" t="s">
        <v>4</v>
      </c>
      <c r="C38" t="s">
        <v>2</v>
      </c>
      <c r="D38" s="1">
        <f>21.95+64.51</f>
        <v>86.460000000000008</v>
      </c>
      <c r="E38" s="1">
        <f>1715.338</f>
        <v>1715.338</v>
      </c>
    </row>
    <row r="39" spans="1:5" x14ac:dyDescent="0.3">
      <c r="A39" s="2">
        <v>45901</v>
      </c>
      <c r="B39" t="s">
        <v>4</v>
      </c>
      <c r="C39" t="s">
        <v>3</v>
      </c>
      <c r="D39" s="1">
        <f>6.8+17.2</f>
        <v>24</v>
      </c>
      <c r="E39" s="1">
        <v>617.34400000000005</v>
      </c>
    </row>
    <row r="40" spans="1:5" x14ac:dyDescent="0.3">
      <c r="A40" s="2">
        <v>45901</v>
      </c>
      <c r="B40" t="s">
        <v>1</v>
      </c>
      <c r="C40" t="s">
        <v>2</v>
      </c>
      <c r="D40" s="1">
        <f>81.63+56.91</f>
        <v>138.54</v>
      </c>
      <c r="E40" s="1">
        <v>3700.9589999999998</v>
      </c>
    </row>
    <row r="41" spans="1:5" x14ac:dyDescent="0.3">
      <c r="A41" s="2">
        <v>45901</v>
      </c>
      <c r="B41" t="s">
        <v>1</v>
      </c>
      <c r="C41" t="s">
        <v>3</v>
      </c>
      <c r="D41" s="1">
        <f>79.84+53.14</f>
        <v>132.98000000000002</v>
      </c>
      <c r="E41" s="1">
        <v>2036.7</v>
      </c>
    </row>
    <row r="42" spans="1:5" x14ac:dyDescent="0.3">
      <c r="A42" s="2">
        <v>45870</v>
      </c>
      <c r="B42" t="s">
        <v>4</v>
      </c>
      <c r="C42" t="s">
        <v>2</v>
      </c>
      <c r="D42" s="1">
        <f>63.84+21.4</f>
        <v>85.240000000000009</v>
      </c>
      <c r="E42" s="1">
        <v>1866.248</v>
      </c>
    </row>
    <row r="43" spans="1:5" x14ac:dyDescent="0.3">
      <c r="A43" s="2">
        <v>45870</v>
      </c>
      <c r="B43" t="s">
        <v>4</v>
      </c>
      <c r="C43" t="s">
        <v>3</v>
      </c>
      <c r="D43" s="1">
        <f>6.42+17.21</f>
        <v>23.630000000000003</v>
      </c>
      <c r="E43" s="1">
        <v>671.29200000000003</v>
      </c>
    </row>
    <row r="44" spans="1:5" x14ac:dyDescent="0.3">
      <c r="A44" s="2">
        <v>45870</v>
      </c>
      <c r="B44" t="s">
        <v>1</v>
      </c>
      <c r="C44" t="s">
        <v>2</v>
      </c>
      <c r="D44" s="1">
        <f>80.28+55.73</f>
        <v>136.01</v>
      </c>
      <c r="E44" s="1">
        <v>3797.1660000000002</v>
      </c>
    </row>
    <row r="45" spans="1:5" x14ac:dyDescent="0.3">
      <c r="A45" s="2">
        <v>45870</v>
      </c>
      <c r="B45" t="s">
        <v>1</v>
      </c>
      <c r="C45" t="s">
        <v>3</v>
      </c>
      <c r="D45" s="1">
        <f>80.12+50.43</f>
        <v>130.55000000000001</v>
      </c>
      <c r="E45" s="1">
        <v>2266.7089999999998</v>
      </c>
    </row>
    <row r="46" spans="1:5" x14ac:dyDescent="0.3">
      <c r="A46" s="2">
        <v>45839</v>
      </c>
      <c r="B46" t="s">
        <v>4</v>
      </c>
      <c r="C46" t="s">
        <v>2</v>
      </c>
      <c r="D46" s="1">
        <f>21.44+60.62</f>
        <v>82.06</v>
      </c>
      <c r="E46" s="1">
        <v>1812.0740000000001</v>
      </c>
    </row>
    <row r="47" spans="1:5" x14ac:dyDescent="0.3">
      <c r="A47" s="2">
        <v>45839</v>
      </c>
      <c r="B47" t="s">
        <v>4</v>
      </c>
      <c r="C47" t="s">
        <v>3</v>
      </c>
      <c r="D47" s="1">
        <f>6.7+16.24</f>
        <v>22.939999999999998</v>
      </c>
      <c r="E47" s="1">
        <v>610.30600000000004</v>
      </c>
    </row>
    <row r="48" spans="1:5" x14ac:dyDescent="0.3">
      <c r="A48" s="2">
        <v>45839</v>
      </c>
      <c r="B48" t="s">
        <v>1</v>
      </c>
      <c r="C48" t="s">
        <v>2</v>
      </c>
      <c r="D48" s="1">
        <f>81.56+57.37</f>
        <v>138.93</v>
      </c>
      <c r="E48" s="1">
        <v>3357.1779999999999</v>
      </c>
    </row>
    <row r="49" spans="1:5" x14ac:dyDescent="0.3">
      <c r="A49" s="2">
        <v>45839</v>
      </c>
      <c r="B49" t="s">
        <v>1</v>
      </c>
      <c r="C49" t="s">
        <v>3</v>
      </c>
      <c r="D49" s="1">
        <f>79.72+50.88</f>
        <v>130.6</v>
      </c>
      <c r="E49" s="1">
        <v>1882.6310000000001</v>
      </c>
    </row>
    <row r="50" spans="1:5" x14ac:dyDescent="0.3">
      <c r="A50" s="2">
        <v>45809</v>
      </c>
      <c r="B50" t="s">
        <v>4</v>
      </c>
      <c r="C50" t="s">
        <v>2</v>
      </c>
      <c r="D50" s="1">
        <f>18.82+60.96</f>
        <v>79.78</v>
      </c>
      <c r="E50" s="1">
        <v>1812.575</v>
      </c>
    </row>
    <row r="51" spans="1:5" x14ac:dyDescent="0.3">
      <c r="A51" s="2">
        <v>45809</v>
      </c>
      <c r="B51" t="s">
        <v>4</v>
      </c>
      <c r="C51" t="s">
        <v>3</v>
      </c>
      <c r="D51" s="1">
        <f>6.22+16.32</f>
        <v>22.54</v>
      </c>
      <c r="E51" s="1">
        <v>641.01700000000005</v>
      </c>
    </row>
    <row r="52" spans="1:5" x14ac:dyDescent="0.3">
      <c r="A52" s="2">
        <v>45809</v>
      </c>
      <c r="B52" t="s">
        <v>1</v>
      </c>
      <c r="C52" t="s">
        <v>2</v>
      </c>
      <c r="D52" s="1">
        <f>78.2+54.48</f>
        <v>132.68</v>
      </c>
      <c r="E52" s="1">
        <f>3506.15</f>
        <v>3506.15</v>
      </c>
    </row>
    <row r="53" spans="1:5" x14ac:dyDescent="0.3">
      <c r="A53" s="2">
        <v>45809</v>
      </c>
      <c r="B53" t="s">
        <v>1</v>
      </c>
      <c r="C53" t="s">
        <v>3</v>
      </c>
      <c r="D53" s="1">
        <f>77.58+49.48</f>
        <v>127.06</v>
      </c>
      <c r="E53" s="1">
        <v>1948.99</v>
      </c>
    </row>
    <row r="54" spans="1:5" x14ac:dyDescent="0.3">
      <c r="A54" s="2">
        <v>45778</v>
      </c>
      <c r="B54" t="s">
        <v>4</v>
      </c>
      <c r="C54" t="s">
        <v>2</v>
      </c>
      <c r="D54" s="1">
        <f>21.61+63.1</f>
        <v>84.710000000000008</v>
      </c>
      <c r="E54" s="1">
        <v>2009.0260000000001</v>
      </c>
    </row>
    <row r="55" spans="1:5" x14ac:dyDescent="0.3">
      <c r="A55" s="2">
        <v>45778</v>
      </c>
      <c r="B55" t="s">
        <v>4</v>
      </c>
      <c r="C55" t="s">
        <v>3</v>
      </c>
      <c r="D55" s="1">
        <f>7.22+18.31</f>
        <v>25.529999999999998</v>
      </c>
      <c r="E55" s="1">
        <v>728.46600000000001</v>
      </c>
    </row>
    <row r="56" spans="1:5" x14ac:dyDescent="0.3">
      <c r="A56" s="2">
        <v>45778</v>
      </c>
      <c r="B56" t="s">
        <v>1</v>
      </c>
      <c r="C56" t="s">
        <v>2</v>
      </c>
      <c r="D56" s="1">
        <f>79.48+55.88</f>
        <v>135.36000000000001</v>
      </c>
      <c r="E56" s="1">
        <v>3187.616</v>
      </c>
    </row>
    <row r="57" spans="1:5" x14ac:dyDescent="0.3">
      <c r="A57" s="2">
        <v>45778</v>
      </c>
      <c r="B57" t="s">
        <v>1</v>
      </c>
      <c r="C57" t="s">
        <v>3</v>
      </c>
      <c r="D57" s="1">
        <f>84.94+52.73</f>
        <v>137.66999999999999</v>
      </c>
      <c r="E57" s="1">
        <v>1690.807</v>
      </c>
    </row>
    <row r="58" spans="1:5" x14ac:dyDescent="0.3">
      <c r="A58" s="2">
        <v>45748</v>
      </c>
      <c r="B58" t="s">
        <v>4</v>
      </c>
      <c r="C58" t="s">
        <v>2</v>
      </c>
      <c r="D58" s="1">
        <f>21.11+62.15</f>
        <v>83.259999999999991</v>
      </c>
      <c r="E58" s="1">
        <v>2182.058</v>
      </c>
    </row>
    <row r="59" spans="1:5" x14ac:dyDescent="0.3">
      <c r="A59" s="2">
        <v>45748</v>
      </c>
      <c r="B59" t="s">
        <v>4</v>
      </c>
      <c r="C59" t="s">
        <v>3</v>
      </c>
      <c r="D59" s="1">
        <f>6.98+19.32</f>
        <v>26.3</v>
      </c>
      <c r="E59" s="1">
        <v>809.3</v>
      </c>
    </row>
    <row r="60" spans="1:5" x14ac:dyDescent="0.3">
      <c r="A60" s="2">
        <v>45748</v>
      </c>
      <c r="B60" t="s">
        <v>1</v>
      </c>
      <c r="C60" t="s">
        <v>2</v>
      </c>
      <c r="D60" s="1">
        <f>77.25+55.01</f>
        <v>132.26</v>
      </c>
      <c r="E60" s="1">
        <v>2738.1860000000001</v>
      </c>
    </row>
    <row r="61" spans="1:5" x14ac:dyDescent="0.3">
      <c r="A61" s="2">
        <v>45748</v>
      </c>
      <c r="B61" t="s">
        <v>1</v>
      </c>
      <c r="C61" t="s">
        <v>3</v>
      </c>
      <c r="D61" s="1">
        <f>87.75+55.4</f>
        <v>143.15</v>
      </c>
      <c r="E61" s="1">
        <v>1553.43</v>
      </c>
    </row>
    <row r="62" spans="1:5" x14ac:dyDescent="0.3">
      <c r="A62" s="2">
        <v>45717</v>
      </c>
      <c r="B62" t="s">
        <v>4</v>
      </c>
      <c r="C62" t="s">
        <v>2</v>
      </c>
      <c r="D62" s="1">
        <f>19.91+60.83</f>
        <v>80.739999999999995</v>
      </c>
      <c r="E62" s="1">
        <v>2051.9699999999998</v>
      </c>
    </row>
    <row r="63" spans="1:5" x14ac:dyDescent="0.3">
      <c r="A63" s="2">
        <v>45717</v>
      </c>
      <c r="B63" t="s">
        <v>4</v>
      </c>
      <c r="C63" t="s">
        <v>3</v>
      </c>
      <c r="D63" s="1">
        <f>7.48+20.23</f>
        <v>27.71</v>
      </c>
      <c r="E63" s="1">
        <v>827.55700000000002</v>
      </c>
    </row>
    <row r="64" spans="1:5" x14ac:dyDescent="0.3">
      <c r="A64" s="2">
        <v>45717</v>
      </c>
      <c r="B64" t="s">
        <v>1</v>
      </c>
      <c r="C64" t="s">
        <v>2</v>
      </c>
      <c r="D64" s="1">
        <f>73.78+54.18</f>
        <v>127.96000000000001</v>
      </c>
      <c r="E64" s="1">
        <v>2851.087</v>
      </c>
    </row>
    <row r="65" spans="1:5" x14ac:dyDescent="0.3">
      <c r="A65" s="2">
        <v>45717</v>
      </c>
      <c r="B65" t="s">
        <v>1</v>
      </c>
      <c r="C65" t="s">
        <v>3</v>
      </c>
      <c r="D65" s="1">
        <f>85.59+54.32</f>
        <v>139.91</v>
      </c>
      <c r="E65" s="1">
        <v>1665.4649999999999</v>
      </c>
    </row>
    <row r="66" spans="1:5" x14ac:dyDescent="0.3">
      <c r="A66" s="2">
        <v>45689</v>
      </c>
      <c r="B66" t="s">
        <v>4</v>
      </c>
      <c r="C66" t="s">
        <v>2</v>
      </c>
      <c r="D66" s="1">
        <f>18.6+54.17</f>
        <v>72.77000000000001</v>
      </c>
      <c r="E66" s="1">
        <v>1839.29</v>
      </c>
    </row>
    <row r="67" spans="1:5" x14ac:dyDescent="0.3">
      <c r="A67" s="2">
        <v>45689</v>
      </c>
      <c r="B67" t="s">
        <v>4</v>
      </c>
      <c r="C67" t="s">
        <v>3</v>
      </c>
      <c r="D67" s="1">
        <f>7.77+19.66</f>
        <v>27.43</v>
      </c>
      <c r="E67" s="1">
        <v>860.62099999999998</v>
      </c>
    </row>
    <row r="68" spans="1:5" x14ac:dyDescent="0.3">
      <c r="A68" s="2">
        <v>45689</v>
      </c>
      <c r="B68" t="s">
        <v>1</v>
      </c>
      <c r="C68" t="s">
        <v>2</v>
      </c>
      <c r="D68" s="1">
        <f>67.62+48.69</f>
        <v>116.31</v>
      </c>
      <c r="E68" s="1">
        <f>2673.115</f>
        <v>2673.1149999999998</v>
      </c>
    </row>
    <row r="69" spans="1:5" x14ac:dyDescent="0.3">
      <c r="A69" s="2">
        <v>45689</v>
      </c>
      <c r="B69" t="s">
        <v>1</v>
      </c>
      <c r="C69" t="s">
        <v>3</v>
      </c>
      <c r="D69" s="1">
        <f>79.61+50.32</f>
        <v>129.93</v>
      </c>
      <c r="E69" s="1">
        <v>1690.376</v>
      </c>
    </row>
    <row r="70" spans="1:5" x14ac:dyDescent="0.3">
      <c r="A70" s="2">
        <v>45658</v>
      </c>
      <c r="B70" t="s">
        <v>4</v>
      </c>
      <c r="C70" t="s">
        <v>2</v>
      </c>
      <c r="D70" s="1">
        <v>73</v>
      </c>
      <c r="E70" s="1">
        <v>1869.451</v>
      </c>
    </row>
    <row r="71" spans="1:5" x14ac:dyDescent="0.3">
      <c r="A71" s="2">
        <v>45658</v>
      </c>
      <c r="B71" t="s">
        <v>4</v>
      </c>
      <c r="C71" t="s">
        <v>3</v>
      </c>
      <c r="D71" s="1">
        <v>30</v>
      </c>
      <c r="E71" s="1">
        <v>1049.057</v>
      </c>
    </row>
    <row r="72" spans="1:5" x14ac:dyDescent="0.3">
      <c r="A72" s="2">
        <v>45658</v>
      </c>
      <c r="B72" t="s">
        <v>1</v>
      </c>
      <c r="C72" t="s">
        <v>2</v>
      </c>
      <c r="D72" s="1">
        <f>73.76+55.6</f>
        <v>129.36000000000001</v>
      </c>
      <c r="E72" s="1">
        <v>2790.6379999999999</v>
      </c>
    </row>
    <row r="73" spans="1:5" x14ac:dyDescent="0.3">
      <c r="A73" s="2">
        <v>45658</v>
      </c>
      <c r="B73" t="s">
        <v>1</v>
      </c>
      <c r="C73" t="s">
        <v>3</v>
      </c>
      <c r="D73" s="1">
        <f>88.7+55.33</f>
        <v>144.03</v>
      </c>
      <c r="E73" s="1">
        <v>1959.3820000000001</v>
      </c>
    </row>
    <row r="74" spans="1:5" x14ac:dyDescent="0.3">
      <c r="A74" s="2">
        <v>45627</v>
      </c>
      <c r="B74" t="s">
        <v>1</v>
      </c>
      <c r="C74" t="s">
        <v>2</v>
      </c>
      <c r="D74" s="1">
        <f>77.92+57.86</f>
        <v>135.78</v>
      </c>
      <c r="E74" s="1">
        <v>3329.2890000000002</v>
      </c>
    </row>
    <row r="75" spans="1:5" x14ac:dyDescent="0.3">
      <c r="A75" s="2">
        <v>45627</v>
      </c>
      <c r="B75" t="s">
        <v>1</v>
      </c>
      <c r="C75" t="s">
        <v>3</v>
      </c>
      <c r="D75" s="1">
        <f>94.69+61.57</f>
        <v>156.26</v>
      </c>
      <c r="E75" s="1">
        <v>2221.29</v>
      </c>
    </row>
    <row r="76" spans="1:5" x14ac:dyDescent="0.3">
      <c r="A76" s="2">
        <v>45627</v>
      </c>
      <c r="B76" t="s">
        <v>4</v>
      </c>
      <c r="C76" t="s">
        <v>2</v>
      </c>
      <c r="D76" s="1">
        <f>20.1+63.34</f>
        <v>83.44</v>
      </c>
      <c r="E76" s="1">
        <v>2590.73</v>
      </c>
    </row>
    <row r="77" spans="1:5" x14ac:dyDescent="0.3">
      <c r="A77" s="2">
        <v>45627</v>
      </c>
      <c r="B77" t="s">
        <v>4</v>
      </c>
      <c r="C77" t="s">
        <v>3</v>
      </c>
      <c r="D77" s="1">
        <f>7.95+25.48</f>
        <v>33.43</v>
      </c>
      <c r="E77" s="1">
        <v>1513.721</v>
      </c>
    </row>
    <row r="78" spans="1:5" x14ac:dyDescent="0.3">
      <c r="A78" s="2">
        <v>45597</v>
      </c>
      <c r="B78" t="s">
        <v>1</v>
      </c>
      <c r="C78" t="s">
        <v>2</v>
      </c>
      <c r="D78" s="1">
        <f>71.28+53.12</f>
        <v>124.4</v>
      </c>
      <c r="E78" s="1">
        <v>2883</v>
      </c>
    </row>
    <row r="79" spans="1:5" x14ac:dyDescent="0.3">
      <c r="A79" s="2">
        <v>45597</v>
      </c>
      <c r="B79" t="s">
        <v>1</v>
      </c>
      <c r="C79" t="s">
        <v>3</v>
      </c>
      <c r="D79" s="1">
        <f>85.94+57.43</f>
        <v>143.37</v>
      </c>
      <c r="E79" s="1">
        <v>2082.2350000000001</v>
      </c>
    </row>
    <row r="80" spans="1:5" x14ac:dyDescent="0.3">
      <c r="A80" s="2">
        <v>45597</v>
      </c>
      <c r="B80" t="s">
        <v>4</v>
      </c>
      <c r="C80" t="s">
        <v>2</v>
      </c>
      <c r="D80" s="1">
        <f>20.43+60.9</f>
        <v>81.33</v>
      </c>
      <c r="E80" s="1">
        <v>4364.884</v>
      </c>
    </row>
    <row r="81" spans="1:5" x14ac:dyDescent="0.3">
      <c r="A81" s="2">
        <v>45597</v>
      </c>
      <c r="B81" t="s">
        <v>4</v>
      </c>
      <c r="C81" t="s">
        <v>3</v>
      </c>
      <c r="D81" s="1">
        <f>9.04+24.89</f>
        <v>33.93</v>
      </c>
      <c r="E81" s="1">
        <v>2830.8789999999999</v>
      </c>
    </row>
    <row r="82" spans="1:5" x14ac:dyDescent="0.3">
      <c r="A82" s="2">
        <v>45566</v>
      </c>
      <c r="B82" t="s">
        <v>1</v>
      </c>
      <c r="C82" t="s">
        <v>2</v>
      </c>
      <c r="D82" s="1">
        <f>15.19+57.13</f>
        <v>72.320000000000007</v>
      </c>
      <c r="E82" s="1">
        <v>2839.1729999999998</v>
      </c>
    </row>
    <row r="83" spans="1:5" x14ac:dyDescent="0.3">
      <c r="A83" s="2">
        <v>45566</v>
      </c>
      <c r="B83" t="s">
        <v>1</v>
      </c>
      <c r="C83" t="s">
        <v>3</v>
      </c>
      <c r="D83" s="1">
        <f>5.76+20.13</f>
        <v>25.89</v>
      </c>
      <c r="E83" s="1">
        <v>2083.576</v>
      </c>
    </row>
    <row r="84" spans="1:5" x14ac:dyDescent="0.3">
      <c r="A84" s="2">
        <v>45566</v>
      </c>
      <c r="B84" t="s">
        <v>4</v>
      </c>
      <c r="C84" t="s">
        <v>2</v>
      </c>
      <c r="D84" s="1">
        <f>85.4+62.26</f>
        <v>147.66</v>
      </c>
      <c r="E84" s="1">
        <v>2084.768</v>
      </c>
    </row>
    <row r="85" spans="1:5" x14ac:dyDescent="0.3">
      <c r="A85" s="2">
        <v>45566</v>
      </c>
      <c r="B85" t="s">
        <v>4</v>
      </c>
      <c r="C85" t="s">
        <v>3</v>
      </c>
      <c r="D85" s="1">
        <f>83.7+55.09</f>
        <v>138.79000000000002</v>
      </c>
      <c r="E85" s="1">
        <v>1175.5239999999999</v>
      </c>
    </row>
    <row r="86" spans="1:5" x14ac:dyDescent="0.3">
      <c r="A86" s="2">
        <v>45536</v>
      </c>
      <c r="B86" t="s">
        <v>1</v>
      </c>
      <c r="C86" t="s">
        <v>2</v>
      </c>
      <c r="D86" s="1">
        <f>69.92+51.74</f>
        <v>121.66</v>
      </c>
      <c r="E86" s="1">
        <v>2831.7370000000001</v>
      </c>
    </row>
    <row r="87" spans="1:5" x14ac:dyDescent="0.3">
      <c r="A87" s="2">
        <v>45536</v>
      </c>
      <c r="B87" t="s">
        <v>1</v>
      </c>
      <c r="C87" t="s">
        <v>3</v>
      </c>
      <c r="D87" s="1">
        <f>85.9+55.41</f>
        <v>141.31</v>
      </c>
      <c r="E87" s="1">
        <v>1943.386</v>
      </c>
    </row>
    <row r="88" spans="1:5" x14ac:dyDescent="0.3">
      <c r="A88" s="2">
        <v>45536</v>
      </c>
      <c r="B88" t="s">
        <v>4</v>
      </c>
      <c r="C88" t="s">
        <v>2</v>
      </c>
      <c r="D88" s="1">
        <f>17.15+60.93</f>
        <v>78.08</v>
      </c>
      <c r="E88" s="1">
        <v>2126.317</v>
      </c>
    </row>
    <row r="89" spans="1:5" x14ac:dyDescent="0.3">
      <c r="A89" s="2">
        <v>45536</v>
      </c>
      <c r="B89" t="s">
        <v>4</v>
      </c>
      <c r="C89" t="s">
        <v>3</v>
      </c>
      <c r="D89" s="1">
        <f>23.2+6.74</f>
        <v>29.939999999999998</v>
      </c>
      <c r="E89" s="1">
        <v>1106.3140000000001</v>
      </c>
    </row>
    <row r="90" spans="1:5" x14ac:dyDescent="0.3">
      <c r="A90" s="2">
        <v>45505</v>
      </c>
      <c r="B90" t="s">
        <v>1</v>
      </c>
      <c r="C90" t="s">
        <v>2</v>
      </c>
      <c r="D90" s="1">
        <f>80.29+55.74</f>
        <v>136.03</v>
      </c>
      <c r="E90" s="1">
        <v>3076.6610000000001</v>
      </c>
    </row>
    <row r="91" spans="1:5" x14ac:dyDescent="0.3">
      <c r="A91" s="2">
        <v>45505</v>
      </c>
      <c r="B91" t="s">
        <v>1</v>
      </c>
      <c r="C91" t="s">
        <v>3</v>
      </c>
      <c r="D91" s="1">
        <f>80.13+50.43</f>
        <v>130.56</v>
      </c>
      <c r="E91" s="1">
        <v>2252.5450000000001</v>
      </c>
    </row>
    <row r="92" spans="1:5" x14ac:dyDescent="0.3">
      <c r="A92" s="2">
        <v>45505</v>
      </c>
      <c r="B92" t="s">
        <v>4</v>
      </c>
      <c r="C92" t="s">
        <v>2</v>
      </c>
      <c r="D92" s="1">
        <f>17.71+66.44</f>
        <v>84.15</v>
      </c>
      <c r="E92" s="1">
        <v>2353.7689999999998</v>
      </c>
    </row>
    <row r="93" spans="1:5" x14ac:dyDescent="0.3">
      <c r="A93" s="2">
        <v>45505</v>
      </c>
      <c r="B93" t="s">
        <v>4</v>
      </c>
      <c r="C93" t="s">
        <v>3</v>
      </c>
      <c r="D93" s="1">
        <f>6.72+25.58</f>
        <v>32.299999999999997</v>
      </c>
      <c r="E93" s="1">
        <v>1241.17</v>
      </c>
    </row>
    <row r="94" spans="1:5" x14ac:dyDescent="0.3">
      <c r="A94" s="2">
        <v>45474</v>
      </c>
      <c r="B94" t="s">
        <v>1</v>
      </c>
      <c r="C94" t="s">
        <v>2</v>
      </c>
      <c r="D94" s="1">
        <f>73.76+55.04</f>
        <v>128.80000000000001</v>
      </c>
      <c r="E94" s="1">
        <v>2732.6790000000001</v>
      </c>
    </row>
    <row r="95" spans="1:5" x14ac:dyDescent="0.3">
      <c r="A95" s="2">
        <v>45474</v>
      </c>
      <c r="B95" t="s">
        <v>1</v>
      </c>
      <c r="C95" t="s">
        <v>3</v>
      </c>
      <c r="D95" s="1">
        <f>87.02+56.42</f>
        <v>143.44</v>
      </c>
      <c r="E95" s="1">
        <v>2094.0839999999998</v>
      </c>
    </row>
    <row r="96" spans="1:5" x14ac:dyDescent="0.3">
      <c r="A96" s="2">
        <v>45474</v>
      </c>
      <c r="B96" t="s">
        <v>4</v>
      </c>
      <c r="C96" t="s">
        <v>2</v>
      </c>
      <c r="D96" s="1">
        <f>17.14+60.12</f>
        <v>77.259999999999991</v>
      </c>
      <c r="E96" s="1">
        <v>1973.682</v>
      </c>
    </row>
    <row r="97" spans="1:5" x14ac:dyDescent="0.3">
      <c r="A97" s="2">
        <v>45474</v>
      </c>
      <c r="B97" t="s">
        <v>4</v>
      </c>
      <c r="C97" t="s">
        <v>3</v>
      </c>
      <c r="D97" s="1">
        <f>7.86+25.66</f>
        <v>33.520000000000003</v>
      </c>
      <c r="E97" s="1">
        <v>1189.008</v>
      </c>
    </row>
    <row r="98" spans="1:5" x14ac:dyDescent="0.3">
      <c r="A98" s="2">
        <v>45444</v>
      </c>
      <c r="B98" t="s">
        <v>1</v>
      </c>
      <c r="C98" t="s">
        <v>2</v>
      </c>
      <c r="D98" s="1">
        <f>67.73+50.62</f>
        <v>118.35</v>
      </c>
      <c r="E98" s="1">
        <v>2692.527</v>
      </c>
    </row>
    <row r="99" spans="1:5" x14ac:dyDescent="0.3">
      <c r="A99" s="2">
        <v>45444</v>
      </c>
      <c r="B99" t="s">
        <v>1</v>
      </c>
      <c r="C99" t="s">
        <v>3</v>
      </c>
      <c r="D99" s="1">
        <f>79.69+52.46</f>
        <v>132.15</v>
      </c>
      <c r="E99" s="1">
        <v>2134.7339999999999</v>
      </c>
    </row>
    <row r="100" spans="1:5" x14ac:dyDescent="0.3">
      <c r="A100" s="2">
        <v>45444</v>
      </c>
      <c r="B100" t="s">
        <v>4</v>
      </c>
      <c r="C100" t="s">
        <v>2</v>
      </c>
      <c r="D100" s="1">
        <f>17.64+57.8</f>
        <v>75.44</v>
      </c>
      <c r="E100" s="1">
        <v>2089.915</v>
      </c>
    </row>
    <row r="101" spans="1:5" x14ac:dyDescent="0.3">
      <c r="A101" s="2">
        <v>45444</v>
      </c>
      <c r="B101" t="s">
        <v>4</v>
      </c>
      <c r="C101" t="s">
        <v>3</v>
      </c>
      <c r="D101" s="1">
        <f>7.53+24.49</f>
        <v>32.019999999999996</v>
      </c>
      <c r="E101" s="1">
        <v>1279.681</v>
      </c>
    </row>
    <row r="102" spans="1:5" x14ac:dyDescent="0.3">
      <c r="A102" s="2">
        <v>45413</v>
      </c>
      <c r="B102" t="s">
        <v>1</v>
      </c>
      <c r="C102" t="s">
        <v>2</v>
      </c>
      <c r="D102" s="1">
        <f>70.34+53.93</f>
        <v>124.27000000000001</v>
      </c>
      <c r="E102" s="1">
        <v>2908.3240000000001</v>
      </c>
    </row>
    <row r="103" spans="1:5" x14ac:dyDescent="0.3">
      <c r="A103" s="2">
        <v>45413</v>
      </c>
      <c r="B103" t="s">
        <v>1</v>
      </c>
      <c r="C103" t="s">
        <v>3</v>
      </c>
      <c r="D103" s="1">
        <f>85.64+59.24</f>
        <v>144.88</v>
      </c>
      <c r="E103" s="1">
        <v>2028.65</v>
      </c>
    </row>
    <row r="104" spans="1:5" x14ac:dyDescent="0.3">
      <c r="A104" s="2">
        <v>45413</v>
      </c>
      <c r="B104" t="s">
        <v>4</v>
      </c>
      <c r="C104" t="s">
        <v>2</v>
      </c>
      <c r="D104" s="1">
        <f>18.4+66.45</f>
        <v>84.85</v>
      </c>
      <c r="E104" s="1">
        <v>2482.163</v>
      </c>
    </row>
    <row r="105" spans="1:5" x14ac:dyDescent="0.3">
      <c r="A105" s="2">
        <v>45413</v>
      </c>
      <c r="B105" t="s">
        <v>4</v>
      </c>
      <c r="C105" t="s">
        <v>3</v>
      </c>
      <c r="D105" s="1">
        <f>6.72+23.17</f>
        <v>29.89</v>
      </c>
      <c r="E105" s="1">
        <v>1157.2460000000001</v>
      </c>
    </row>
    <row r="106" spans="1:5" x14ac:dyDescent="0.3">
      <c r="A106" s="2">
        <v>45383</v>
      </c>
      <c r="B106" t="s">
        <v>1</v>
      </c>
      <c r="C106" t="s">
        <v>2</v>
      </c>
      <c r="D106" s="1">
        <f>68.81+52.97</f>
        <v>121.78</v>
      </c>
      <c r="E106" s="1">
        <v>2650.848</v>
      </c>
    </row>
    <row r="107" spans="1:5" x14ac:dyDescent="0.3">
      <c r="A107" s="2">
        <v>45383</v>
      </c>
      <c r="B107" t="s">
        <v>1</v>
      </c>
      <c r="C107" t="s">
        <v>3</v>
      </c>
      <c r="D107" s="1">
        <f>82.32+57.79</f>
        <v>140.10999999999999</v>
      </c>
      <c r="E107" s="1">
        <v>2083.5219999999999</v>
      </c>
    </row>
    <row r="108" spans="1:5" x14ac:dyDescent="0.3">
      <c r="A108" s="2">
        <v>45383</v>
      </c>
      <c r="B108" t="s">
        <v>4</v>
      </c>
      <c r="C108" t="s">
        <v>2</v>
      </c>
      <c r="D108" s="1">
        <f>16.49+65.11</f>
        <v>81.599999999999994</v>
      </c>
      <c r="E108" s="1">
        <v>2433.5790000000002</v>
      </c>
    </row>
    <row r="109" spans="1:5" x14ac:dyDescent="0.3">
      <c r="A109" s="2">
        <v>45383</v>
      </c>
      <c r="B109" t="s">
        <v>4</v>
      </c>
      <c r="C109" t="s">
        <v>3</v>
      </c>
      <c r="D109" s="1">
        <f>6.74+27.26</f>
        <v>34</v>
      </c>
      <c r="E109" s="1">
        <v>1412.953</v>
      </c>
    </row>
    <row r="110" spans="1:5" x14ac:dyDescent="0.3">
      <c r="A110" s="2">
        <v>45352</v>
      </c>
      <c r="B110" t="s">
        <v>1</v>
      </c>
      <c r="C110" t="s">
        <v>2</v>
      </c>
      <c r="D110" s="1">
        <f>65.95+53.22</f>
        <v>119.17</v>
      </c>
      <c r="E110" s="1">
        <v>2713.0390000000002</v>
      </c>
    </row>
    <row r="111" spans="1:5" x14ac:dyDescent="0.3">
      <c r="A111" s="2">
        <v>45352</v>
      </c>
      <c r="B111" t="s">
        <v>1</v>
      </c>
      <c r="C111" t="s">
        <v>3</v>
      </c>
      <c r="D111" s="1">
        <f>85.28+60.5</f>
        <v>145.78</v>
      </c>
      <c r="E111" s="1">
        <v>2292.0650000000001</v>
      </c>
    </row>
    <row r="112" spans="1:5" x14ac:dyDescent="0.3">
      <c r="A112" s="2">
        <v>45352</v>
      </c>
      <c r="B112" t="s">
        <v>4</v>
      </c>
      <c r="C112" t="s">
        <v>2</v>
      </c>
      <c r="D112" s="1">
        <f>15.05+63.15</f>
        <v>78.2</v>
      </c>
      <c r="E112" s="1">
        <v>2404.5859999999998</v>
      </c>
    </row>
    <row r="113" spans="1:5" x14ac:dyDescent="0.3">
      <c r="A113" s="2">
        <v>45352</v>
      </c>
      <c r="B113" t="s">
        <v>4</v>
      </c>
      <c r="C113" t="s">
        <v>3</v>
      </c>
      <c r="D113" s="1">
        <f>7.01+31.76</f>
        <v>38.770000000000003</v>
      </c>
      <c r="E113" s="1">
        <v>1831.2850000000001</v>
      </c>
    </row>
    <row r="114" spans="1:5" x14ac:dyDescent="0.3">
      <c r="A114" s="2">
        <v>45323</v>
      </c>
      <c r="B114" t="s">
        <v>1</v>
      </c>
      <c r="C114" t="s">
        <v>2</v>
      </c>
      <c r="D114" s="1">
        <f>62.54+47.44</f>
        <v>109.97999999999999</v>
      </c>
      <c r="E114" s="1">
        <v>2292.0920000000001</v>
      </c>
    </row>
    <row r="115" spans="1:5" x14ac:dyDescent="0.3">
      <c r="A115" s="2">
        <v>45323</v>
      </c>
      <c r="B115" t="s">
        <v>1</v>
      </c>
      <c r="C115" t="s">
        <v>3</v>
      </c>
      <c r="D115" s="1">
        <f>78.32+53.13</f>
        <v>131.44999999999999</v>
      </c>
      <c r="E115" s="1">
        <v>1830.152</v>
      </c>
    </row>
    <row r="116" spans="1:5" x14ac:dyDescent="0.3">
      <c r="A116" s="2">
        <v>45323</v>
      </c>
      <c r="B116" t="s">
        <v>4</v>
      </c>
      <c r="C116" t="s">
        <v>2</v>
      </c>
      <c r="D116" s="1">
        <f>14.15+52.97</f>
        <v>67.12</v>
      </c>
      <c r="E116" s="1">
        <v>2016.393</v>
      </c>
    </row>
    <row r="117" spans="1:5" x14ac:dyDescent="0.3">
      <c r="A117" s="2">
        <v>45323</v>
      </c>
      <c r="B117" t="s">
        <v>4</v>
      </c>
      <c r="C117" t="s">
        <v>3</v>
      </c>
      <c r="D117" s="1">
        <f>6.32+26.34</f>
        <v>32.659999999999997</v>
      </c>
      <c r="E117" s="1">
        <v>1535.171</v>
      </c>
    </row>
    <row r="118" spans="1:5" x14ac:dyDescent="0.3">
      <c r="A118" s="2">
        <v>45292</v>
      </c>
      <c r="B118" t="s">
        <v>1</v>
      </c>
      <c r="C118" t="s">
        <v>2</v>
      </c>
      <c r="D118" s="1">
        <f>68.29+54.99</f>
        <v>123.28</v>
      </c>
      <c r="E118" s="1">
        <v>2630.4670000000001</v>
      </c>
    </row>
    <row r="119" spans="1:5" x14ac:dyDescent="0.3">
      <c r="A119" s="2">
        <v>45292</v>
      </c>
      <c r="B119" t="s">
        <v>1</v>
      </c>
      <c r="C119" t="s">
        <v>3</v>
      </c>
      <c r="D119" s="1">
        <f>81.67+57.21</f>
        <v>138.88</v>
      </c>
      <c r="E119" s="1">
        <v>1840.721</v>
      </c>
    </row>
    <row r="120" spans="1:5" x14ac:dyDescent="0.3">
      <c r="A120" s="2">
        <v>45292</v>
      </c>
      <c r="B120" t="s">
        <v>4</v>
      </c>
      <c r="C120" t="s">
        <v>2</v>
      </c>
      <c r="D120" s="1">
        <f>15.19+57.13</f>
        <v>72.320000000000007</v>
      </c>
      <c r="E120" s="1">
        <v>2308.3470000000002</v>
      </c>
    </row>
    <row r="121" spans="1:5" x14ac:dyDescent="0.3">
      <c r="A121" s="2">
        <v>45292</v>
      </c>
      <c r="B121" t="s">
        <v>4</v>
      </c>
      <c r="C121" t="s">
        <v>3</v>
      </c>
      <c r="D121" s="1">
        <f>5.76+20.13</f>
        <v>25.89</v>
      </c>
      <c r="E121" s="1">
        <v>1317.203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60F8F95D1A16438A22B0323BF694D6" ma:contentTypeVersion="12" ma:contentTypeDescription="Crie um novo documento." ma:contentTypeScope="" ma:versionID="3467abc2804c1048bd957daa82c68f42">
  <xsd:schema xmlns:xsd="http://www.w3.org/2001/XMLSchema" xmlns:xs="http://www.w3.org/2001/XMLSchema" xmlns:p="http://schemas.microsoft.com/office/2006/metadata/properties" xmlns:ns2="62637d81-1739-4a15-8cbf-346deed03fab" xmlns:ns3="1f3764ba-7974-4670-b7ea-b35c164e0ca2" targetNamespace="http://schemas.microsoft.com/office/2006/metadata/properties" ma:root="true" ma:fieldsID="073649bc2a1ddf9b6220e01bcb63b7e4" ns2:_="" ns3:_="">
    <xsd:import namespace="62637d81-1739-4a15-8cbf-346deed03fab"/>
    <xsd:import namespace="1f3764ba-7974-4670-b7ea-b35c164e0c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637d81-1739-4a15-8cbf-346deed03f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aa1e2af-4100-4b1f-89df-ad40a0e203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764ba-7974-4670-b7ea-b35c164e0c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3d633c-dc94-499e-82aa-b06163d8bc44}" ma:internalName="TaxCatchAll" ma:showField="CatchAllData" ma:web="1f3764ba-7974-4670-b7ea-b35c164e0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3764ba-7974-4670-b7ea-b35c164e0ca2" xsi:nil="true"/>
    <lcf76f155ced4ddcb4097134ff3c332f xmlns="62637d81-1739-4a15-8cbf-346deed03fa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500AAC-27D6-4D5C-86A5-04288812AC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0828C6-2109-44FB-8D26-3D0A1E35E7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637d81-1739-4a15-8cbf-346deed03fab"/>
    <ds:schemaRef ds:uri="1f3764ba-7974-4670-b7ea-b35c164e0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509220-435E-4E5A-B403-FF828112BE1D}">
  <ds:schemaRefs>
    <ds:schemaRef ds:uri="http://schemas.microsoft.com/office/2006/metadata/properties"/>
    <ds:schemaRef ds:uri="http://schemas.microsoft.com/office/infopath/2007/PartnerControls"/>
    <ds:schemaRef ds:uri="1f3764ba-7974-4670-b7ea-b35c164e0ca2"/>
    <ds:schemaRef ds:uri="62637d81-1739-4a15-8cbf-346deed03fa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share ottto 24-26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Carvalho</dc:creator>
  <cp:lastModifiedBy>Carlos Carvalho</cp:lastModifiedBy>
  <dcterms:created xsi:type="dcterms:W3CDTF">2026-07-27T17:40:31Z</dcterms:created>
  <dcterms:modified xsi:type="dcterms:W3CDTF">2026-10-13T16:53:51Z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0x0101009160F8F95D1A16438A22B0323BF694D6</vt:lpwstr>
  </property>
  <property fmtid="{D5CDD505-2E9C-101B-9397-08002B2CF9AE}" pid="3" name="MediaServiceImageTags">
    <vt:lpwstr/>
  </property>
</Properties>
</file>